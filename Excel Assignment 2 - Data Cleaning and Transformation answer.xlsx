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hna\Downloads\"/>
    </mc:Choice>
  </mc:AlternateContent>
  <xr:revisionPtr revIDLastSave="0" documentId="8_{AB98A33F-7593-410F-9421-77448C0D70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4" l="1"/>
  <c r="K31" i="4"/>
  <c r="K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2" i="4"/>
  <c r="F43" i="4"/>
  <c r="F40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3" i="4"/>
  <c r="I4" i="4"/>
  <c r="I5" i="4"/>
  <c r="I6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2" i="4"/>
  <c r="I23" i="4"/>
  <c r="I24" i="4"/>
  <c r="I25" i="4"/>
  <c r="I27" i="4"/>
  <c r="I28" i="4"/>
  <c r="I29" i="4"/>
  <c r="I30" i="4"/>
  <c r="I31" i="4"/>
  <c r="I32" i="4"/>
  <c r="I26" i="4" l="1"/>
  <c r="I21" i="4"/>
  <c r="I7" i="4"/>
</calcChain>
</file>

<file path=xl/sharedStrings.xml><?xml version="1.0" encoding="utf-8"?>
<sst xmlns="http://schemas.openxmlformats.org/spreadsheetml/2006/main" count="324" uniqueCount="138">
  <si>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</si>
  <si>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</si>
  <si>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</si>
  <si>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</si>
  <si>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</si>
  <si>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</si>
  <si>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</si>
  <si>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</si>
  <si>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</si>
  <si>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</si>
  <si>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</si>
  <si>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</si>
  <si>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</si>
  <si>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</si>
  <si>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</si>
  <si>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</si>
  <si>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</si>
  <si>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</si>
  <si>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</si>
  <si>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</si>
  <si>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</si>
  <si>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</si>
  <si>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</si>
  <si>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</si>
  <si>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</si>
  <si>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</si>
  <si>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</si>
  <si>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</si>
  <si>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</si>
  <si>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</si>
  <si>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</si>
  <si>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</si>
  <si>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</si>
  <si>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</si>
  <si>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</si>
  <si>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</si>
  <si>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</si>
  <si>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</si>
  <si>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</si>
  <si>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</si>
  <si>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</si>
  <si>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</si>
  <si>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</si>
  <si>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</si>
  <si>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</si>
  <si>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</si>
  <si>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</si>
  <si>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</si>
  <si>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</si>
  <si>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</si>
  <si>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</si>
  <si>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</si>
  <si>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</si>
  <si>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</si>
  <si>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</si>
  <si>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</si>
  <si>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</si>
  <si>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</si>
  <si>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</si>
  <si>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</si>
  <si>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</si>
  <si>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</si>
  <si>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</si>
  <si>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</si>
  <si>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</si>
  <si>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</si>
  <si>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</si>
  <si>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</si>
  <si>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</si>
  <si>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</si>
  <si>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</si>
  <si>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</si>
  <si>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</si>
  <si>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</si>
  <si>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</si>
  <si>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</si>
  <si>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</si>
  <si>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</si>
  <si>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</si>
  <si>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</si>
  <si>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</si>
  <si>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</si>
  <si>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</si>
  <si>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</si>
  <si>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</si>
  <si>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</si>
  <si>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</si>
  <si>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</si>
  <si>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</si>
  <si>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</si>
  <si>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</si>
  <si>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</si>
  <si>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</si>
  <si>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</si>
  <si>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</si>
  <si>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</si>
  <si>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</si>
  <si>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</si>
  <si>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</si>
  <si>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</si>
  <si>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</si>
  <si>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</si>
  <si>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</si>
  <si>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</si>
  <si>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</si>
  <si>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</si>
  <si>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</si>
  <si>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</si>
  <si>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</si>
  <si>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</si>
  <si>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</si>
  <si>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</si>
  <si>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</si>
  <si>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</si>
  <si>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</si>
  <si>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</si>
  <si>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countblank</t>
  </si>
  <si>
    <t>PRICE-IMPUT</t>
  </si>
  <si>
    <t>CATEGORY-IMPU</t>
  </si>
  <si>
    <t>Missing values in category column</t>
  </si>
  <si>
    <t>Missing values in price column</t>
  </si>
  <si>
    <t>COUNTBLANK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</si>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</sst>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6" formatCode="[$-14009]dd/mm/yyyy;@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9" fillId="0" borderId="0" xfId="0" applyFont="1"/>
    <xf numFmtId="0" fontId="11" fillId="2" borderId="0" xfId="0" applyFont="1" applyFill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5" fillId="3" borderId="0" xfId="0" applyNumberFormat="1" applyFont="1" applyFill="1"/>
    <xf numFmtId="49" fontId="5" fillId="0" borderId="0" xfId="0" applyNumberFormat="1" applyFont="1"/>
    <xf numFmtId="16" fontId="10" fillId="0" borderId="0" xfId="0" applyNumberFormat="1" applyFont="1"/>
    <xf numFmtId="16" fontId="5" fillId="3" borderId="0" xfId="0" applyNumberFormat="1" applyFont="1" applyFill="1"/>
    <xf numFmtId="16" fontId="5" fillId="0" borderId="0" xfId="0" applyNumberFormat="1" applyFont="1"/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66" fontId="10" fillId="0" borderId="0" xfId="0" applyNumberFormat="1" applyFont="1"/>
    <xf numFmtId="166" fontId="5" fillId="3" borderId="0" xfId="0" applyNumberFormat="1" applyFont="1" applyFill="1"/>
    <xf numFmtId="166" fontId="5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7" workbookViewId="0">
      <selection activeCell="C20" sqref="C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70" zoomScaleNormal="70" workbookViewId="0">
      <selection activeCell="D2" sqref="D2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526C-29C4-483D-BA2B-0001588BF8D1}">
  <dimension ref="A1:L43"/>
  <sheetViews>
    <sheetView tabSelected="1" zoomScale="70" zoomScaleNormal="70" workbookViewId="0">
      <selection activeCell="L37" sqref="L37"/>
    </sheetView>
  </sheetViews>
  <sheetFormatPr defaultRowHeight="13.2" x14ac:dyDescent="0.25"/>
  <cols>
    <col min="1" max="1" width="11.88671875" customWidth="1"/>
    <col min="2" max="2" width="20" customWidth="1"/>
    <col min="3" max="3" width="11.88671875" customWidth="1"/>
    <col min="4" max="4" width="15.33203125" customWidth="1"/>
    <col min="5" max="5" width="33.109375" customWidth="1"/>
    <col min="6" max="6" width="11.5546875" customWidth="1"/>
    <col min="7" max="7" width="12.33203125" customWidth="1"/>
    <col min="8" max="8" width="13.21875" customWidth="1"/>
    <col min="9" max="9" width="22.21875" customWidth="1"/>
    <col min="10" max="10" width="18.88671875" customWidth="1"/>
    <col min="11" max="11" width="27" customWidth="1"/>
    <col min="12" max="12" width="19.88671875" customWidth="1"/>
    <col min="13" max="13" width="8.88671875" customWidth="1"/>
  </cols>
  <sheetData>
    <row r="1" spans="1:12" x14ac:dyDescent="0.25">
      <c r="A1" s="7" t="s">
        <v>19</v>
      </c>
      <c r="B1" s="11" t="s">
        <v>134</v>
      </c>
      <c r="C1" s="11" t="s">
        <v>135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117</v>
      </c>
      <c r="J1" s="7" t="s">
        <v>118</v>
      </c>
      <c r="K1" s="11" t="s">
        <v>136</v>
      </c>
      <c r="L1" s="11" t="s">
        <v>137</v>
      </c>
    </row>
    <row r="2" spans="1:12" x14ac:dyDescent="0.25">
      <c r="A2" s="12" t="s">
        <v>25</v>
      </c>
      <c r="B2" s="16">
        <v>46050</v>
      </c>
      <c r="C2" s="13" t="s">
        <v>122</v>
      </c>
      <c r="D2" s="5" t="s">
        <v>61</v>
      </c>
      <c r="E2" s="5" t="s">
        <v>27</v>
      </c>
      <c r="F2" s="19">
        <v>1000</v>
      </c>
      <c r="G2" s="5">
        <v>30</v>
      </c>
      <c r="H2" s="5" t="s">
        <v>28</v>
      </c>
      <c r="I2" s="21">
        <f>IF(ISBLANK(F2),AVERAGE(F2:F35),F2)</f>
        <v>1000</v>
      </c>
      <c r="J2" t="str">
        <f>IF(ISBLANK(H2),"UNKOWN",H2)</f>
        <v>Electronics</v>
      </c>
      <c r="K2" t="str">
        <f>CONCATENATE(D2," ",E2)</f>
        <v>Laptop Dell</v>
      </c>
      <c r="L2" s="22">
        <v>46050</v>
      </c>
    </row>
    <row r="3" spans="1:12" x14ac:dyDescent="0.25">
      <c r="A3" s="8" t="s">
        <v>29</v>
      </c>
      <c r="B3" s="17">
        <v>46068</v>
      </c>
      <c r="C3" s="14" t="s">
        <v>122</v>
      </c>
      <c r="D3" s="8" t="s">
        <v>30</v>
      </c>
      <c r="E3" s="8" t="s">
        <v>31</v>
      </c>
      <c r="F3" s="20">
        <v>80</v>
      </c>
      <c r="G3" s="8">
        <v>15</v>
      </c>
      <c r="H3" s="8" t="s">
        <v>32</v>
      </c>
      <c r="I3" s="21">
        <f>IF(ISBLANK(F3),AVERAGE(F3:F36),F3)</f>
        <v>80</v>
      </c>
      <c r="J3" t="str">
        <f>IF(ISBLANK(H3),"UNKOWN",H3)</f>
        <v>Fashion</v>
      </c>
      <c r="K3" t="str">
        <f t="shared" ref="K3:K32" si="0">CONCATENATE(D3," ",E3)</f>
        <v>Sneakers Nike</v>
      </c>
      <c r="L3" s="23">
        <v>46068</v>
      </c>
    </row>
    <row r="4" spans="1:12" x14ac:dyDescent="0.25">
      <c r="A4" s="5" t="s">
        <v>33</v>
      </c>
      <c r="B4" s="18">
        <v>46084</v>
      </c>
      <c r="C4" s="15" t="s">
        <v>122</v>
      </c>
      <c r="D4" s="5" t="s">
        <v>34</v>
      </c>
      <c r="E4" s="5" t="s">
        <v>35</v>
      </c>
      <c r="F4" s="19">
        <v>130</v>
      </c>
      <c r="G4" s="5">
        <v>40</v>
      </c>
      <c r="H4" s="5" t="s">
        <v>36</v>
      </c>
      <c r="I4" s="21">
        <f>IF(ISBLANK(F4),AVERAGE(F4:F37),F4)</f>
        <v>130</v>
      </c>
      <c r="J4" t="str">
        <f>IF(ISBLANK(H4),"UNKOWN",H4)</f>
        <v>Kitchen</v>
      </c>
      <c r="K4" t="str">
        <f t="shared" si="0"/>
        <v>Coffee Maker Keurig</v>
      </c>
      <c r="L4" s="24">
        <v>46084</v>
      </c>
    </row>
    <row r="5" spans="1:12" x14ac:dyDescent="0.25">
      <c r="A5" s="8" t="s">
        <v>37</v>
      </c>
      <c r="B5" s="17">
        <v>46123</v>
      </c>
      <c r="C5" s="14" t="s">
        <v>122</v>
      </c>
      <c r="D5" s="8" t="s">
        <v>96</v>
      </c>
      <c r="E5" s="8" t="s">
        <v>39</v>
      </c>
      <c r="F5" s="20">
        <v>900</v>
      </c>
      <c r="G5" s="8">
        <v>25</v>
      </c>
      <c r="H5" s="8" t="s">
        <v>28</v>
      </c>
      <c r="I5" s="21">
        <f>IF(ISBLANK(F5),AVERAGE(F5:F38),F5)</f>
        <v>900</v>
      </c>
      <c r="J5" t="str">
        <f>IF(ISBLANK(H5),"UNKOWN",H5)</f>
        <v>Electronics</v>
      </c>
      <c r="K5" t="str">
        <f t="shared" si="0"/>
        <v>Smartphone Samsung</v>
      </c>
      <c r="L5" s="23">
        <v>46123</v>
      </c>
    </row>
    <row r="6" spans="1:12" x14ac:dyDescent="0.25">
      <c r="A6" s="5" t="s">
        <v>40</v>
      </c>
      <c r="B6" s="18">
        <v>46164</v>
      </c>
      <c r="C6" s="15" t="s">
        <v>122</v>
      </c>
      <c r="D6" s="5" t="s">
        <v>41</v>
      </c>
      <c r="E6" s="5" t="s">
        <v>42</v>
      </c>
      <c r="F6" s="19">
        <v>70</v>
      </c>
      <c r="G6" s="5">
        <v>20</v>
      </c>
      <c r="H6" s="5"/>
      <c r="I6" s="21">
        <f>IF(ISBLANK(F6),AVERAGE(F6:F39),F6)</f>
        <v>70</v>
      </c>
      <c r="J6" t="str">
        <f>IF(ISBLANK(H6),"UNKOWN",H6)</f>
        <v>UNKOWN</v>
      </c>
      <c r="K6" t="str">
        <f t="shared" si="0"/>
        <v>Backpack North Face</v>
      </c>
      <c r="L6" s="24">
        <v>46164</v>
      </c>
    </row>
    <row r="7" spans="1:12" x14ac:dyDescent="0.25">
      <c r="A7" s="8" t="s">
        <v>43</v>
      </c>
      <c r="B7" s="17">
        <v>46180</v>
      </c>
      <c r="C7" s="14" t="s">
        <v>123</v>
      </c>
      <c r="D7" s="8" t="s">
        <v>44</v>
      </c>
      <c r="E7" s="8" t="s">
        <v>45</v>
      </c>
      <c r="F7" s="20"/>
      <c r="G7" s="8">
        <v>45</v>
      </c>
      <c r="H7" s="8" t="s">
        <v>28</v>
      </c>
      <c r="I7" s="21">
        <f>IF(ISBLANK(F7),AVERAGE(F7:F40),F7)</f>
        <v>256.79166666666669</v>
      </c>
      <c r="J7" t="str">
        <f>IF(ISBLANK(H7),"UNKOWN",H7)</f>
        <v>Electronics</v>
      </c>
      <c r="K7" t="str">
        <f t="shared" si="0"/>
        <v>Headphones Sony</v>
      </c>
      <c r="L7" s="23">
        <v>46180</v>
      </c>
    </row>
    <row r="8" spans="1:12" x14ac:dyDescent="0.25">
      <c r="A8" s="5" t="s">
        <v>47</v>
      </c>
      <c r="B8" s="18">
        <v>46222</v>
      </c>
      <c r="C8" s="15" t="s">
        <v>123</v>
      </c>
      <c r="D8" s="5" t="s">
        <v>48</v>
      </c>
      <c r="E8" s="5" t="s">
        <v>49</v>
      </c>
      <c r="F8" s="19">
        <v>30</v>
      </c>
      <c r="G8" s="5">
        <v>5</v>
      </c>
      <c r="H8" s="5" t="s">
        <v>32</v>
      </c>
      <c r="I8" s="21">
        <f>IF(ISBLANK(F8),AVERAGE(F8:F41),F8)</f>
        <v>30</v>
      </c>
      <c r="J8" t="str">
        <f>IF(ISBLANK(H8),"UNKOWN",H8)</f>
        <v>Fashion</v>
      </c>
      <c r="K8" t="str">
        <f t="shared" si="0"/>
        <v>T-shirt Adidas</v>
      </c>
      <c r="L8" s="24">
        <v>46222</v>
      </c>
    </row>
    <row r="9" spans="1:12" x14ac:dyDescent="0.25">
      <c r="A9" s="8" t="s">
        <v>50</v>
      </c>
      <c r="B9" s="17">
        <v>46257</v>
      </c>
      <c r="C9" s="14" t="s">
        <v>123</v>
      </c>
      <c r="D9" s="8" t="s">
        <v>51</v>
      </c>
      <c r="E9" s="8" t="s">
        <v>52</v>
      </c>
      <c r="F9" s="20">
        <v>90</v>
      </c>
      <c r="G9" s="8">
        <v>35</v>
      </c>
      <c r="H9" s="8" t="s">
        <v>36</v>
      </c>
      <c r="I9" s="21">
        <f>IF(ISBLANK(F9),AVERAGE(F9:F42),F9)</f>
        <v>90</v>
      </c>
      <c r="J9" t="str">
        <f>IF(ISBLANK(H9),"UNKOWN",H9)</f>
        <v>Kitchen</v>
      </c>
      <c r="K9" t="str">
        <f t="shared" si="0"/>
        <v>Blender Ninja</v>
      </c>
      <c r="L9" s="23">
        <v>46257</v>
      </c>
    </row>
    <row r="10" spans="1:12" x14ac:dyDescent="0.25">
      <c r="A10" s="5" t="s">
        <v>53</v>
      </c>
      <c r="B10" s="18">
        <v>46270</v>
      </c>
      <c r="C10" s="15" t="s">
        <v>123</v>
      </c>
      <c r="D10" s="5" t="s">
        <v>54</v>
      </c>
      <c r="E10" s="5" t="s">
        <v>55</v>
      </c>
      <c r="F10" s="19">
        <v>500</v>
      </c>
      <c r="G10" s="5">
        <v>50</v>
      </c>
      <c r="H10" s="5" t="s">
        <v>28</v>
      </c>
      <c r="I10" s="21">
        <f>IF(ISBLANK(F10),AVERAGE(F10:F43),F10)</f>
        <v>500</v>
      </c>
      <c r="J10" t="str">
        <f>IF(ISBLANK(H10),"UNKOWN",H10)</f>
        <v>Electronics</v>
      </c>
      <c r="K10" t="str">
        <f t="shared" si="0"/>
        <v>Tablet Apple</v>
      </c>
      <c r="L10" s="24">
        <v>46270</v>
      </c>
    </row>
    <row r="11" spans="1:12" x14ac:dyDescent="0.25">
      <c r="A11" s="8" t="s">
        <v>56</v>
      </c>
      <c r="B11" s="17">
        <v>46309</v>
      </c>
      <c r="C11" s="14" t="s">
        <v>123</v>
      </c>
      <c r="D11" s="8" t="s">
        <v>57</v>
      </c>
      <c r="E11" s="8" t="s">
        <v>58</v>
      </c>
      <c r="F11" s="20">
        <v>130</v>
      </c>
      <c r="G11" s="8">
        <v>10</v>
      </c>
      <c r="H11" s="8" t="s">
        <v>59</v>
      </c>
      <c r="I11" s="21">
        <f>IF(ISBLANK(F11),AVERAGE(F11:F44),F11)</f>
        <v>130</v>
      </c>
      <c r="J11" t="str">
        <f>IF(ISBLANK(H11),"UNKOWN",H11)</f>
        <v>Outdoor</v>
      </c>
      <c r="K11" t="str">
        <f t="shared" si="0"/>
        <v>Hiking Boots Timberland</v>
      </c>
      <c r="L11" s="23">
        <v>46309</v>
      </c>
    </row>
    <row r="12" spans="1:12" x14ac:dyDescent="0.25">
      <c r="A12" s="5" t="s">
        <v>60</v>
      </c>
      <c r="B12" s="18">
        <v>46190</v>
      </c>
      <c r="C12" s="15" t="s">
        <v>124</v>
      </c>
      <c r="D12" s="5" t="s">
        <v>61</v>
      </c>
      <c r="E12" s="5" t="s">
        <v>62</v>
      </c>
      <c r="F12" s="19">
        <v>950</v>
      </c>
      <c r="G12" s="5">
        <v>25</v>
      </c>
      <c r="H12" s="5" t="s">
        <v>28</v>
      </c>
      <c r="I12" s="21">
        <f>IF(ISBLANK(F12),AVERAGE(F12:F45),F12)</f>
        <v>950</v>
      </c>
      <c r="J12" t="str">
        <f>IF(ISBLANK(H12),"UNKOWN",H12)</f>
        <v>Electronics</v>
      </c>
      <c r="K12" t="str">
        <f t="shared" si="0"/>
        <v>Laptop HP</v>
      </c>
      <c r="L12" s="24">
        <v>46190</v>
      </c>
    </row>
    <row r="13" spans="1:12" x14ac:dyDescent="0.25">
      <c r="A13" s="8" t="s">
        <v>63</v>
      </c>
      <c r="B13" s="17">
        <v>46351</v>
      </c>
      <c r="C13" s="14" t="s">
        <v>125</v>
      </c>
      <c r="D13" s="8" t="s">
        <v>30</v>
      </c>
      <c r="E13" s="8" t="s">
        <v>49</v>
      </c>
      <c r="F13" s="20">
        <v>90</v>
      </c>
      <c r="G13" s="8">
        <v>40</v>
      </c>
      <c r="H13" s="8"/>
      <c r="I13" s="21">
        <f>IF(ISBLANK(F13),AVERAGE(F13:F46),F13)</f>
        <v>90</v>
      </c>
      <c r="J13" t="str">
        <f>IF(ISBLANK(H13),"UNKOWN",H13)</f>
        <v>UNKOWN</v>
      </c>
      <c r="K13" t="str">
        <f t="shared" si="0"/>
        <v>Sneakers Adidas</v>
      </c>
      <c r="L13" s="23">
        <v>46351</v>
      </c>
    </row>
    <row r="14" spans="1:12" x14ac:dyDescent="0.25">
      <c r="A14" s="5" t="s">
        <v>64</v>
      </c>
      <c r="B14" s="18">
        <v>46364</v>
      </c>
      <c r="C14" s="15" t="s">
        <v>126</v>
      </c>
      <c r="D14" s="5" t="s">
        <v>34</v>
      </c>
      <c r="E14" s="5" t="s">
        <v>65</v>
      </c>
      <c r="F14" s="19">
        <v>120</v>
      </c>
      <c r="G14" s="5">
        <v>35</v>
      </c>
      <c r="H14" s="5"/>
      <c r="I14" s="21">
        <f>IF(ISBLANK(F14),AVERAGE(F14:F47),F14)</f>
        <v>120</v>
      </c>
      <c r="J14" t="str">
        <f>IF(ISBLANK(H14),"UNKOWN",H14)</f>
        <v>UNKOWN</v>
      </c>
      <c r="K14" t="str">
        <f t="shared" si="0"/>
        <v>Coffee Maker Nespresso</v>
      </c>
      <c r="L14" s="24">
        <v>46364</v>
      </c>
    </row>
    <row r="15" spans="1:12" x14ac:dyDescent="0.25">
      <c r="A15" s="8" t="s">
        <v>66</v>
      </c>
      <c r="B15" s="17">
        <v>46071</v>
      </c>
      <c r="C15" s="14" t="s">
        <v>127</v>
      </c>
      <c r="D15" s="8" t="s">
        <v>67</v>
      </c>
      <c r="E15" s="8" t="s">
        <v>68</v>
      </c>
      <c r="F15" s="20">
        <v>150</v>
      </c>
      <c r="G15" s="8">
        <v>15</v>
      </c>
      <c r="H15" s="8" t="s">
        <v>28</v>
      </c>
      <c r="I15" s="21">
        <f>IF(ISBLANK(F15),AVERAGE(F15:F48),F15)</f>
        <v>150</v>
      </c>
      <c r="J15" t="str">
        <f>IF(ISBLANK(H15),"UNKOWN",H15)</f>
        <v>Electronics</v>
      </c>
      <c r="K15" t="str">
        <f t="shared" si="0"/>
        <v>Smartwatch Fitbit</v>
      </c>
      <c r="L15" s="23">
        <v>46071</v>
      </c>
    </row>
    <row r="16" spans="1:12" x14ac:dyDescent="0.25">
      <c r="A16" s="5" t="s">
        <v>69</v>
      </c>
      <c r="B16" s="18">
        <v>46128</v>
      </c>
      <c r="C16" s="15" t="s">
        <v>128</v>
      </c>
      <c r="D16" s="5" t="s">
        <v>44</v>
      </c>
      <c r="E16" s="5" t="s">
        <v>71</v>
      </c>
      <c r="F16" s="19">
        <v>250</v>
      </c>
      <c r="G16" s="5">
        <v>20</v>
      </c>
      <c r="H16" s="5" t="s">
        <v>28</v>
      </c>
      <c r="I16" s="21">
        <f>IF(ISBLANK(F16),AVERAGE(F16:F49),F16)</f>
        <v>250</v>
      </c>
      <c r="J16" t="str">
        <f>IF(ISBLANK(H16),"UNKOWN",H16)</f>
        <v>Electronics</v>
      </c>
      <c r="K16" t="str">
        <f t="shared" si="0"/>
        <v>Headphones Bose</v>
      </c>
      <c r="L16" s="24">
        <v>46128</v>
      </c>
    </row>
    <row r="17" spans="1:12" x14ac:dyDescent="0.25">
      <c r="A17" s="8" t="s">
        <v>72</v>
      </c>
      <c r="B17" s="17">
        <v>46255</v>
      </c>
      <c r="C17" s="14" t="s">
        <v>127</v>
      </c>
      <c r="D17" s="8" t="s">
        <v>73</v>
      </c>
      <c r="E17" s="8" t="s">
        <v>74</v>
      </c>
      <c r="F17" s="20">
        <v>50</v>
      </c>
      <c r="G17" s="8">
        <v>35</v>
      </c>
      <c r="H17" s="8" t="s">
        <v>75</v>
      </c>
      <c r="I17" s="21">
        <f>IF(ISBLANK(F17),AVERAGE(F17:F50),F17)</f>
        <v>50</v>
      </c>
      <c r="J17" t="str">
        <f>IF(ISBLANK(H17),"UNKOWN",H17)</f>
        <v>Accessories</v>
      </c>
      <c r="K17" t="str">
        <f t="shared" si="0"/>
        <v>Laptop Bag Samsonite</v>
      </c>
      <c r="L17" s="23">
        <v>46255</v>
      </c>
    </row>
    <row r="18" spans="1:12" x14ac:dyDescent="0.25">
      <c r="A18" s="5" t="s">
        <v>76</v>
      </c>
      <c r="B18" s="18">
        <v>46254</v>
      </c>
      <c r="C18" s="15" t="s">
        <v>129</v>
      </c>
      <c r="D18" s="5" t="s">
        <v>67</v>
      </c>
      <c r="E18" s="5" t="s">
        <v>77</v>
      </c>
      <c r="F18" s="19">
        <v>160</v>
      </c>
      <c r="G18" s="5">
        <v>15</v>
      </c>
      <c r="H18" s="5" t="s">
        <v>28</v>
      </c>
      <c r="I18" s="21">
        <f>IF(ISBLANK(F18),AVERAGE(F18:F51),F18)</f>
        <v>160</v>
      </c>
      <c r="J18" t="str">
        <f>IF(ISBLANK(H18),"UNKOWN",H18)</f>
        <v>Electronics</v>
      </c>
      <c r="K18" t="str">
        <f t="shared" si="0"/>
        <v>Smartwatch Huawei</v>
      </c>
      <c r="L18" s="24">
        <v>46254</v>
      </c>
    </row>
    <row r="19" spans="1:12" x14ac:dyDescent="0.25">
      <c r="A19" s="8" t="s">
        <v>78</v>
      </c>
      <c r="B19" s="17">
        <v>46049</v>
      </c>
      <c r="C19" s="14" t="s">
        <v>130</v>
      </c>
      <c r="D19" s="8" t="s">
        <v>61</v>
      </c>
      <c r="E19" s="8" t="s">
        <v>79</v>
      </c>
      <c r="F19" s="20">
        <v>980</v>
      </c>
      <c r="G19" s="8">
        <v>10</v>
      </c>
      <c r="H19" s="8" t="s">
        <v>28</v>
      </c>
      <c r="I19" s="21">
        <f>IF(ISBLANK(F19),AVERAGE(F19:F52),F19)</f>
        <v>980</v>
      </c>
      <c r="J19" t="str">
        <f>IF(ISBLANK(H19),"UNKOWN",H19)</f>
        <v>Electronics</v>
      </c>
      <c r="K19" t="str">
        <f t="shared" si="0"/>
        <v>Laptop Asus</v>
      </c>
      <c r="L19" s="23">
        <v>46049</v>
      </c>
    </row>
    <row r="20" spans="1:12" x14ac:dyDescent="0.25">
      <c r="A20" s="5" t="s">
        <v>80</v>
      </c>
      <c r="B20" s="18">
        <v>46082</v>
      </c>
      <c r="C20" s="15" t="s">
        <v>123</v>
      </c>
      <c r="D20" s="5" t="s">
        <v>81</v>
      </c>
      <c r="E20" s="5" t="s">
        <v>82</v>
      </c>
      <c r="F20" s="19">
        <v>150</v>
      </c>
      <c r="G20" s="5">
        <v>15</v>
      </c>
      <c r="H20" s="5" t="s">
        <v>32</v>
      </c>
      <c r="I20" s="21">
        <f>IF(ISBLANK(F20),AVERAGE(F20:F53),F20)</f>
        <v>150</v>
      </c>
      <c r="J20" t="str">
        <f>IF(ISBLANK(H20),"UNKOWN",H20)</f>
        <v>Fashion</v>
      </c>
      <c r="K20" t="str">
        <f t="shared" si="0"/>
        <v>Sunglasses Oakley</v>
      </c>
      <c r="L20" s="24">
        <v>46082</v>
      </c>
    </row>
    <row r="21" spans="1:12" x14ac:dyDescent="0.25">
      <c r="A21" s="8" t="s">
        <v>83</v>
      </c>
      <c r="B21" s="17">
        <v>46248</v>
      </c>
      <c r="C21" s="14" t="s">
        <v>122</v>
      </c>
      <c r="D21" s="8" t="s">
        <v>84</v>
      </c>
      <c r="E21" s="8" t="s">
        <v>85</v>
      </c>
      <c r="F21" s="20"/>
      <c r="G21" s="8">
        <v>10</v>
      </c>
      <c r="H21" s="8" t="s">
        <v>59</v>
      </c>
      <c r="I21" s="21">
        <f>IF(ISBLANK(F21),AVERAGE(F21:F54),F21)</f>
        <v>209.75</v>
      </c>
      <c r="J21" t="str">
        <f>IF(ISBLANK(H21),"UNKOWN",H21)</f>
        <v>Outdoor</v>
      </c>
      <c r="K21" t="str">
        <f t="shared" si="0"/>
        <v>Camping Tent Coleman</v>
      </c>
      <c r="L21" s="23">
        <v>46248</v>
      </c>
    </row>
    <row r="22" spans="1:12" x14ac:dyDescent="0.25">
      <c r="A22" s="5" t="s">
        <v>86</v>
      </c>
      <c r="B22" s="18">
        <v>46156</v>
      </c>
      <c r="C22" s="15" t="s">
        <v>131</v>
      </c>
      <c r="D22" s="5" t="s">
        <v>87</v>
      </c>
      <c r="E22" s="5" t="s">
        <v>88</v>
      </c>
      <c r="F22" s="19">
        <v>700</v>
      </c>
      <c r="G22" s="5">
        <v>50</v>
      </c>
      <c r="H22" s="5" t="s">
        <v>28</v>
      </c>
      <c r="I22" s="21">
        <f>IF(ISBLANK(F22),AVERAGE(F22:F55),F22)</f>
        <v>700</v>
      </c>
      <c r="J22" t="str">
        <f>IF(ISBLANK(H22),"UNKOWN",H22)</f>
        <v>Electronics</v>
      </c>
      <c r="K22" t="str">
        <f t="shared" si="0"/>
        <v>Camera Nikon</v>
      </c>
      <c r="L22" s="24">
        <v>46156</v>
      </c>
    </row>
    <row r="23" spans="1:12" x14ac:dyDescent="0.25">
      <c r="A23" s="8" t="s">
        <v>89</v>
      </c>
      <c r="B23" s="17">
        <v>46031</v>
      </c>
      <c r="C23" s="14" t="s">
        <v>127</v>
      </c>
      <c r="D23" s="8" t="s">
        <v>90</v>
      </c>
      <c r="E23" s="8" t="s">
        <v>91</v>
      </c>
      <c r="F23" s="20">
        <v>80</v>
      </c>
      <c r="G23" s="8">
        <v>20</v>
      </c>
      <c r="H23" s="8" t="s">
        <v>36</v>
      </c>
      <c r="I23" s="21">
        <f>IF(ISBLANK(F23),AVERAGE(F23:F56),F23)</f>
        <v>80</v>
      </c>
      <c r="J23" t="str">
        <f>IF(ISBLANK(H23),"UNKOWN",H23)</f>
        <v>Kitchen</v>
      </c>
      <c r="K23" t="str">
        <f t="shared" si="0"/>
        <v>Microwave Panasonic</v>
      </c>
      <c r="L23" s="23">
        <v>46031</v>
      </c>
    </row>
    <row r="24" spans="1:12" x14ac:dyDescent="0.25">
      <c r="A24" s="5" t="s">
        <v>92</v>
      </c>
      <c r="B24" s="18">
        <v>46222</v>
      </c>
      <c r="C24" s="15" t="s">
        <v>132</v>
      </c>
      <c r="D24" s="5" t="s">
        <v>93</v>
      </c>
      <c r="E24" s="5" t="s">
        <v>94</v>
      </c>
      <c r="F24" s="19">
        <v>150</v>
      </c>
      <c r="G24" s="5">
        <v>30</v>
      </c>
      <c r="H24" s="5"/>
      <c r="I24" s="21">
        <f>IF(ISBLANK(F24),AVERAGE(F24:F57),F24)</f>
        <v>150</v>
      </c>
      <c r="J24" t="str">
        <f>IF(ISBLANK(H24),"UNKOWN",H24)</f>
        <v>UNKOWN</v>
      </c>
      <c r="K24" t="str">
        <f t="shared" si="0"/>
        <v>Fitness Tracker Xiaomi</v>
      </c>
      <c r="L24" s="24">
        <v>46222</v>
      </c>
    </row>
    <row r="25" spans="1:12" x14ac:dyDescent="0.25">
      <c r="A25" s="5" t="s">
        <v>95</v>
      </c>
      <c r="B25" s="18">
        <v>46294</v>
      </c>
      <c r="C25" s="15" t="s">
        <v>127</v>
      </c>
      <c r="D25" s="5" t="s">
        <v>96</v>
      </c>
      <c r="E25" s="5" t="s">
        <v>97</v>
      </c>
      <c r="F25" s="19">
        <v>800</v>
      </c>
      <c r="G25" s="5">
        <v>45</v>
      </c>
      <c r="H25" s="5" t="s">
        <v>28</v>
      </c>
      <c r="I25" s="21">
        <f>IF(ISBLANK(F25),AVERAGE(F25:F58),F25)</f>
        <v>800</v>
      </c>
      <c r="J25" t="str">
        <f>IF(ISBLANK(H25),"UNKOWN",H25)</f>
        <v>Electronics</v>
      </c>
      <c r="K25" t="str">
        <f t="shared" si="0"/>
        <v>Smartphone Google</v>
      </c>
      <c r="L25" s="24">
        <v>46294</v>
      </c>
    </row>
    <row r="26" spans="1:12" x14ac:dyDescent="0.25">
      <c r="A26" s="8" t="s">
        <v>98</v>
      </c>
      <c r="B26" s="17">
        <v>46176</v>
      </c>
      <c r="C26" s="14" t="s">
        <v>127</v>
      </c>
      <c r="D26" s="8" t="s">
        <v>81</v>
      </c>
      <c r="E26" s="8" t="s">
        <v>99</v>
      </c>
      <c r="F26" s="20"/>
      <c r="G26" s="8">
        <v>25</v>
      </c>
      <c r="H26" s="8" t="s">
        <v>32</v>
      </c>
      <c r="I26" s="21">
        <f>IF(ISBLANK(F26),AVERAGE(F26:F59),F26)</f>
        <v>98.375</v>
      </c>
      <c r="J26" t="str">
        <f>IF(ISBLANK(H26),"UNKOWN",H26)</f>
        <v>Fashion</v>
      </c>
      <c r="K26" t="str">
        <f t="shared" si="0"/>
        <v>Sunglasses Ray-Ban</v>
      </c>
      <c r="L26" s="23">
        <v>46176</v>
      </c>
    </row>
    <row r="27" spans="1:12" x14ac:dyDescent="0.25">
      <c r="A27" s="5" t="s">
        <v>100</v>
      </c>
      <c r="B27" s="18">
        <v>46214</v>
      </c>
      <c r="C27" s="15" t="s">
        <v>127</v>
      </c>
      <c r="D27" s="5" t="s">
        <v>51</v>
      </c>
      <c r="E27" s="5" t="s">
        <v>101</v>
      </c>
      <c r="F27" s="19">
        <v>400</v>
      </c>
      <c r="G27" s="5">
        <v>40</v>
      </c>
      <c r="H27" s="5" t="s">
        <v>36</v>
      </c>
      <c r="I27" s="21">
        <f>IF(ISBLANK(F27),AVERAGE(F27:F60),F27)</f>
        <v>400</v>
      </c>
      <c r="J27" t="str">
        <f>IF(ISBLANK(H27),"UNKOWN",H27)</f>
        <v>Kitchen</v>
      </c>
      <c r="K27" t="str">
        <f t="shared" si="0"/>
        <v>Blender Vitamix</v>
      </c>
      <c r="L27" s="24">
        <v>46214</v>
      </c>
    </row>
    <row r="28" spans="1:12" x14ac:dyDescent="0.25">
      <c r="A28" s="5" t="s">
        <v>102</v>
      </c>
      <c r="B28" s="18">
        <v>46088</v>
      </c>
      <c r="C28" s="15" t="s">
        <v>127</v>
      </c>
      <c r="D28" s="5" t="s">
        <v>103</v>
      </c>
      <c r="E28" s="5" t="s">
        <v>104</v>
      </c>
      <c r="F28" s="19">
        <v>60</v>
      </c>
      <c r="G28" s="5">
        <v>30</v>
      </c>
      <c r="H28" s="5" t="s">
        <v>32</v>
      </c>
      <c r="I28" s="21">
        <f>IF(ISBLANK(F28),AVERAGE(F28:F61),F28)</f>
        <v>60</v>
      </c>
      <c r="J28" t="str">
        <f>IF(ISBLANK(H28),"UNKOWN",H28)</f>
        <v>Fashion</v>
      </c>
      <c r="K28" t="str">
        <f t="shared" si="0"/>
        <v>Dress Zara</v>
      </c>
      <c r="L28" s="24">
        <v>46088</v>
      </c>
    </row>
    <row r="29" spans="1:12" x14ac:dyDescent="0.25">
      <c r="A29" s="8" t="s">
        <v>105</v>
      </c>
      <c r="B29" s="17">
        <v>46125</v>
      </c>
      <c r="C29" s="14" t="s">
        <v>127</v>
      </c>
      <c r="D29" s="8" t="s">
        <v>106</v>
      </c>
      <c r="E29" s="8" t="s">
        <v>107</v>
      </c>
      <c r="F29" s="20">
        <v>40</v>
      </c>
      <c r="G29" s="8">
        <v>10</v>
      </c>
      <c r="H29" s="8" t="s">
        <v>36</v>
      </c>
      <c r="I29" s="21">
        <f>IF(ISBLANK(F29),AVERAGE(F29:F62),F29)</f>
        <v>40</v>
      </c>
      <c r="J29" t="str">
        <f>IF(ISBLANK(H29),"UNKOWN",H29)</f>
        <v>Kitchen</v>
      </c>
      <c r="K29" t="str">
        <f t="shared" si="0"/>
        <v>Toaster Hamilton</v>
      </c>
      <c r="L29" s="23">
        <v>46125</v>
      </c>
    </row>
    <row r="30" spans="1:12" x14ac:dyDescent="0.25">
      <c r="A30" s="5" t="s">
        <v>108</v>
      </c>
      <c r="B30" s="18">
        <v>46166</v>
      </c>
      <c r="C30" s="15" t="s">
        <v>127</v>
      </c>
      <c r="D30" s="5" t="s">
        <v>93</v>
      </c>
      <c r="E30" s="5" t="s">
        <v>109</v>
      </c>
      <c r="F30" s="19">
        <v>130</v>
      </c>
      <c r="G30" s="5">
        <v>5</v>
      </c>
      <c r="H30" s="5" t="s">
        <v>28</v>
      </c>
      <c r="I30" s="21">
        <f>IF(ISBLANK(F30),AVERAGE(F30:F63),F30)</f>
        <v>130</v>
      </c>
      <c r="J30" t="str">
        <f>IF(ISBLANK(H30),"UNKOWN",H30)</f>
        <v>Electronics</v>
      </c>
      <c r="K30" t="str">
        <f t="shared" si="0"/>
        <v>Fitness Tracker Garmin</v>
      </c>
      <c r="L30" s="24">
        <v>46166</v>
      </c>
    </row>
    <row r="31" spans="1:12" x14ac:dyDescent="0.25">
      <c r="A31" s="8" t="s">
        <v>110</v>
      </c>
      <c r="B31" s="17">
        <v>46358</v>
      </c>
      <c r="C31" s="14" t="s">
        <v>127</v>
      </c>
      <c r="D31" s="8" t="s">
        <v>111</v>
      </c>
      <c r="E31" s="8" t="s">
        <v>112</v>
      </c>
      <c r="F31" s="20">
        <v>50</v>
      </c>
      <c r="G31" s="8">
        <v>50</v>
      </c>
      <c r="H31" s="8" t="s">
        <v>32</v>
      </c>
      <c r="I31" s="21">
        <f>IF(ISBLANK(F31),AVERAGE(F31:F64),F31)</f>
        <v>50</v>
      </c>
      <c r="J31" t="str">
        <f>IF(ISBLANK(H31),"UNKOWN",H31)</f>
        <v>Fashion</v>
      </c>
      <c r="K31" t="str">
        <f t="shared" si="0"/>
        <v>Jeans Levi's</v>
      </c>
      <c r="L31" s="23">
        <v>46358</v>
      </c>
    </row>
    <row r="32" spans="1:12" x14ac:dyDescent="0.25">
      <c r="A32" s="8" t="s">
        <v>113</v>
      </c>
      <c r="B32" s="17">
        <v>46212</v>
      </c>
      <c r="C32" s="14" t="s">
        <v>133</v>
      </c>
      <c r="D32" s="8" t="s">
        <v>114</v>
      </c>
      <c r="E32" s="8" t="s">
        <v>115</v>
      </c>
      <c r="F32" s="20">
        <v>100</v>
      </c>
      <c r="G32" s="8">
        <v>20</v>
      </c>
      <c r="H32" s="8" t="s">
        <v>75</v>
      </c>
      <c r="I32" s="21">
        <f>IF(ISBLANK(F32),AVERAGE(F32:F65),F32)</f>
        <v>100</v>
      </c>
      <c r="J32" t="str">
        <f>IF(ISBLANK(H32),"UNKOWN",H32)</f>
        <v>Accessories</v>
      </c>
      <c r="K32" t="str">
        <f t="shared" si="0"/>
        <v>Watch Casio</v>
      </c>
      <c r="L32" s="23">
        <v>46212</v>
      </c>
    </row>
    <row r="39" spans="5:6" x14ac:dyDescent="0.25">
      <c r="E39" s="9" t="s">
        <v>120</v>
      </c>
      <c r="F39" s="9"/>
    </row>
    <row r="40" spans="5:6" x14ac:dyDescent="0.25">
      <c r="E40" s="10" t="s">
        <v>116</v>
      </c>
      <c r="F40">
        <f>COUNTBLANK(F2:F32)</f>
        <v>3</v>
      </c>
    </row>
    <row r="41" spans="5:6" x14ac:dyDescent="0.25">
      <c r="E41" s="10"/>
    </row>
    <row r="42" spans="5:6" x14ac:dyDescent="0.25">
      <c r="E42" s="9" t="s">
        <v>119</v>
      </c>
    </row>
    <row r="43" spans="5:6" x14ac:dyDescent="0.25">
      <c r="E43" s="10" t="s">
        <v>121</v>
      </c>
      <c r="F43">
        <f>COUNTBLANK(H2:H32)</f>
        <v>4</v>
      </c>
    </row>
  </sheetData>
  <conditionalFormatting sqref="I2:I3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3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32">
    <cfRule type="containsText" dxfId="2" priority="2" operator="containsText" text="Electronics">
      <formula>NOT(ISERROR(SEARCH("Electronics",J2)))</formula>
    </cfRule>
  </conditionalFormatting>
  <conditionalFormatting sqref="H2:H32">
    <cfRule type="containsText" dxfId="0" priority="1" operator="containsText" text="Electronics">
      <formula>NOT(ISERROR(SEARCH("Electronics",H2)))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RAHNA MOHAN</dc:creator>
  <cp:lastModifiedBy>RAHNA MOHAN</cp:lastModifiedBy>
  <dcterms:created xsi:type="dcterms:W3CDTF">2026-10-23T19:45:21Z</dcterms:created>
  <dcterms:modified xsi:type="dcterms:W3CDTF">2026-10-23T19:45:21Z</dcterms:modified>
</cp:coreProperties>
</file>